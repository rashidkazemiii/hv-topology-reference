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\Desktop\MyFile\Projects\hv-topology-reference\"/>
    </mc:Choice>
  </mc:AlternateContent>
  <xr:revisionPtr revIDLastSave="0" documentId="8_{4F24FC9B-6F29-4465-A789-D47E3AAFFE5C}" xr6:coauthVersionLast="47" xr6:coauthVersionMax="47" xr10:uidLastSave="{00000000-0000-0000-0000-000000000000}"/>
  <bookViews>
    <workbookView xWindow="-20685" yWindow="2970" windowWidth="19185" windowHeight="10380" activeTab="1" xr2:uid="{AEB97BE8-6136-423D-A7FB-FDC7F438689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<sst xmlns="http://schemas.openxmlformats.org/spreadsheetml/2006/main" count="138" uniqueCount="102">
  <si>
    <t>Topology</t>
  </si>
  <si>
    <t>Description</t>
  </si>
  <si>
    <t>Typical Waveforms</t>
  </si>
  <si>
    <t>Output Current [A]</t>
  </si>
  <si>
    <t>Power Density [W/cm3]</t>
  </si>
  <si>
    <t>Peak Efficiency [%]</t>
  </si>
  <si>
    <t>Full Load Efficiency [%]</t>
  </si>
  <si>
    <t>Current Density [A/mm2]</t>
  </si>
  <si>
    <t>Switching Frequency [kHz]</t>
  </si>
  <si>
    <t>Control</t>
  </si>
  <si>
    <t>Comment</t>
  </si>
  <si>
    <t>Reference</t>
  </si>
  <si>
    <t>DAB</t>
  </si>
  <si>
    <t>Isolated bidirectional DC/DC</t>
  </si>
  <si>
    <t>Square V, triangular I</t>
  </si>
  <si>
    <t>Medium</t>
  </si>
  <si>
    <t>50–200</t>
  </si>
  <si>
    <t>Phase shift</t>
  </si>
  <si>
    <t>IEEE</t>
  </si>
  <si>
    <t>Resonant soft switching</t>
  </si>
  <si>
    <t>50–120</t>
  </si>
  <si>
    <t>High</t>
  </si>
  <si>
    <t>100–500</t>
  </si>
  <si>
    <t>Frequency</t>
  </si>
  <si>
    <t>Industry/IEEE</t>
  </si>
  <si>
    <t>ISOP LLC</t>
  </si>
  <si>
    <t>Modular LLC</t>
  </si>
  <si>
    <t>Same as LLC</t>
  </si>
  <si>
    <t>80–150</t>
  </si>
  <si>
    <t>Very High</t>
  </si>
  <si>
    <t>Distributed</t>
  </si>
  <si>
    <t>Industry</t>
  </si>
  <si>
    <t>PSFB</t>
  </si>
  <si>
    <t>Full bridge</t>
  </si>
  <si>
    <t>Square V</t>
  </si>
  <si>
    <t>20–60</t>
  </si>
  <si>
    <t>Legacy</t>
  </si>
  <si>
    <t>30–90</t>
  </si>
  <si>
    <t>PWM</t>
  </si>
  <si>
    <t>DAB+LLC</t>
  </si>
  <si>
    <t>Hybrid</t>
  </si>
  <si>
    <t>60–120</t>
  </si>
  <si>
    <t>Research</t>
  </si>
  <si>
    <t>SST+DAB</t>
  </si>
  <si>
    <t>10–40</t>
  </si>
  <si>
    <t>10–100</t>
  </si>
  <si>
    <t>Multi-level</t>
  </si>
  <si>
    <t>Complex</t>
  </si>
  <si>
    <t>80–140</t>
  </si>
  <si>
    <t>IBC</t>
  </si>
  <si>
    <t>Intermediate bus</t>
  </si>
  <si>
    <t>Simple</t>
  </si>
  <si>
    <t>Planar LLC</t>
  </si>
  <si>
    <t>LLC planar</t>
  </si>
  <si>
    <t>100–180</t>
  </si>
  <si>
    <t>Efficiency (0-10)</t>
  </si>
  <si>
    <t>Power Density (0-10)</t>
  </si>
  <si>
    <t>Readiness (0-10)</t>
  </si>
  <si>
    <t>Future Potential (0-10)</t>
  </si>
  <si>
    <t>Schematic</t>
  </si>
  <si>
    <t xml:space="preserve">Sinusoidal </t>
  </si>
  <si>
    <t>10–70</t>
  </si>
  <si>
    <t>Total</t>
  </si>
  <si>
    <t>Stacked Active Bridge</t>
  </si>
  <si>
    <t>5–20</t>
  </si>
  <si>
    <t>10–80</t>
  </si>
  <si>
    <t>5–10</t>
  </si>
  <si>
    <t>LLC + LLC DCX</t>
  </si>
  <si>
    <t>LLC and LLC DCX</t>
  </si>
  <si>
    <t>Inverter modules are stacked in
 series on the 400V 
side and connected in parallel 
on the 48V side</t>
  </si>
  <si>
    <t xml:space="preserve">Mixed
(Square V,Sinusoidal ) </t>
  </si>
  <si>
    <t>IEEE/ Industry</t>
  </si>
  <si>
    <t>20–100</t>
  </si>
  <si>
    <t>10–90</t>
  </si>
  <si>
    <t>5–30</t>
  </si>
  <si>
    <t>5–50</t>
  </si>
  <si>
    <t>5–80</t>
  </si>
  <si>
    <t>91–95</t>
  </si>
  <si>
    <t>90–94</t>
  </si>
  <si>
    <t>90–95</t>
  </si>
  <si>
    <t xml:space="preserve"> High</t>
  </si>
  <si>
    <t>200–600</t>
  </si>
  <si>
    <t>50–100</t>
  </si>
  <si>
    <t>100–400</t>
  </si>
  <si>
    <t xml:space="preserve"> SST</t>
  </si>
  <si>
    <t>200–400</t>
  </si>
  <si>
    <t>Robust, 
good regulation</t>
  </si>
  <si>
    <t>Less Complexity (0-10)</t>
  </si>
  <si>
    <t>Lower Risk (0-10)</t>
  </si>
  <si>
    <t>94–98</t>
  </si>
  <si>
    <t>93–97</t>
  </si>
  <si>
    <t>Simple, High density
Regulation Challenge, Resonant isolated converter; LLC DCX optimized for fixed ratio and high efficiency conversion</t>
  </si>
  <si>
    <t>High Current 
capability, input-voltage balancing required</t>
  </si>
  <si>
    <t>Low Cost, 
Mature topology</t>
  </si>
  <si>
    <t>Non-isolated
Modular architecture</t>
  </si>
  <si>
    <t>Mix of 
High efficiency 
and
 good regulation</t>
  </si>
  <si>
    <t>Minimum Magnetic 
components.
SST for data centers is still relatively experimental. Readiness should be considered low</t>
  </si>
  <si>
    <t>Direct Conversion</t>
  </si>
  <si>
    <t>Low switch stress
Low current stress.
 This is one of the hottest research areas right now.
transient handling,
fault protection,
startup sequencing,
insulation</t>
  </si>
  <si>
    <t xml:space="preserve">Under development
</t>
  </si>
  <si>
    <t>High density,
thermal integration</t>
  </si>
  <si>
    <t>200–500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</si>
</sst>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3F3F3F"/>
      <name val="Aptos Narrow"/>
      <family val="2"/>
      <scheme val="minor"/>
    </font>
    <font>
      <sz val="14"/>
      <color rgb="FF3F3F3F"/>
      <name val="Aptos Narrow"/>
      <family val="2"/>
      <scheme val="minor"/>
    </font>
    <font>
      <b/>
      <sz val="14"/>
      <color rgb="FF9C5700"/>
      <name val="Aptos Narrow"/>
      <family val="2"/>
      <scheme val="minor"/>
    </font>
    <font>
      <b/>
      <sz val="14"/>
      <color rgb="FF0061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2" applyNumberFormat="0" applyFont="0" applyAlignment="0" applyProtection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/>
    </xf>
    <xf numFmtId="0" fontId="4" fillId="4" borderId="1" xfId="3" applyAlignment="1">
      <alignment horizontal="center" vertical="top"/>
    </xf>
    <xf numFmtId="0" fontId="6" fillId="4" borderId="1" xfId="3" applyFont="1" applyAlignment="1">
      <alignment horizontal="center"/>
    </xf>
    <xf numFmtId="0" fontId="6" fillId="4" borderId="1" xfId="3" applyFont="1" applyAlignment="1">
      <alignment horizontal="center" vertical="top"/>
    </xf>
    <xf numFmtId="0" fontId="7" fillId="4" borderId="1" xfId="3" applyFont="1" applyAlignment="1">
      <alignment horizontal="center" vertical="top"/>
    </xf>
    <xf numFmtId="0" fontId="7" fillId="4" borderId="1" xfId="3" applyFont="1" applyAlignment="1">
      <alignment horizontal="center" vertical="top" wrapText="1"/>
    </xf>
    <xf numFmtId="0" fontId="8" fillId="3" borderId="0" xfId="2" applyFont="1" applyAlignment="1">
      <alignment horizontal="center"/>
    </xf>
    <xf numFmtId="0" fontId="9" fillId="2" borderId="0" xfId="1" applyFont="1" applyAlignment="1">
      <alignment horizontal="center" vertical="top"/>
    </xf>
    <xf numFmtId="0" fontId="5" fillId="4" borderId="1" xfId="5" applyFill="1" applyBorder="1" applyAlignment="1">
      <alignment horizontal="center" vertical="top"/>
    </xf>
    <xf numFmtId="0" fontId="3" fillId="3" borderId="1" xfId="2" applyBorder="1" applyAlignment="1">
      <alignment horizontal="center" vertical="top"/>
    </xf>
    <xf numFmtId="0" fontId="3" fillId="3" borderId="0" xfId="2" applyAlignment="1">
      <alignment horizontal="center"/>
    </xf>
    <xf numFmtId="0" fontId="2" fillId="2" borderId="1" xfId="1" applyBorder="1" applyAlignment="1">
      <alignment horizontal="center" vertical="top"/>
    </xf>
    <xf numFmtId="0" fontId="0" fillId="5" borderId="2" xfId="4" applyFont="1" applyAlignment="1">
      <alignment horizontal="center" vertical="top"/>
    </xf>
  </cellXfs>
  <cellStyles count="6">
    <cellStyle name="Good" xfId="1" builtinId="26"/>
    <cellStyle name="Hyperlink" xfId="5" builtinId="8"/>
    <cellStyle name="Neutral" xfId="2" builtinId="28"/>
    <cellStyle name="Normal" xfId="0" builtinId="0"/>
    <cellStyle name="Note" xfId="4" builtinId="10"/>
    <cellStyle name="Output" xfId="3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2</xdr:row>
      <xdr:rowOff>110939</xdr:rowOff>
    </xdr:from>
    <xdr:to>
      <xdr:col>1</xdr:col>
      <xdr:colOff>2847974</xdr:colOff>
      <xdr:row>2</xdr:row>
      <xdr:rowOff>1412193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0E9FF2-14E5-49A7-9290-3E5A4A6C4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4903" y="2665880"/>
          <a:ext cx="2638424" cy="13012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3</xdr:row>
      <xdr:rowOff>47625</xdr:rowOff>
    </xdr:from>
    <xdr:to>
      <xdr:col>1</xdr:col>
      <xdr:colOff>2698913</xdr:colOff>
      <xdr:row>3</xdr:row>
      <xdr:rowOff>1800225</xdr:rowOff>
    </xdr:to>
    <xdr:pic>
      <xdr:nvPicPr>
        <xdr:cNvPr id="10" name="Picture 9" descr="ISOP-connected modular three TTF converters. | Download Scientific Diagram">
          <a:extLst>
            <a:ext uri="{FF2B5EF4-FFF2-40B4-BE49-F238E27FC236}">
              <a16:creationId xmlns:a16="http://schemas.microsoft.com/office/drawing/2014/main" id="{32D2B55B-FC3B-452D-DA07-D69B18755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0" y="4010025"/>
          <a:ext cx="2546513" cy="175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92654</xdr:colOff>
      <xdr:row>4</xdr:row>
      <xdr:rowOff>173663</xdr:rowOff>
    </xdr:from>
    <xdr:to>
      <xdr:col>1</xdr:col>
      <xdr:colOff>2815479</xdr:colOff>
      <xdr:row>4</xdr:row>
      <xdr:rowOff>1373789</xdr:rowOff>
    </xdr:to>
    <xdr:pic>
      <xdr:nvPicPr>
        <xdr:cNvPr id="11" name="Picture 10" descr="SLUP414 Technical article | TI.com">
          <a:extLst>
            <a:ext uri="{FF2B5EF4-FFF2-40B4-BE49-F238E27FC236}">
              <a16:creationId xmlns:a16="http://schemas.microsoft.com/office/drawing/2014/main" id="{CA421999-CC51-93CF-777C-D8CFFFA3A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8007" y="6067957"/>
          <a:ext cx="2722825" cy="1200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239246</xdr:colOff>
      <xdr:row>5</xdr:row>
      <xdr:rowOff>201146</xdr:rowOff>
    </xdr:from>
    <xdr:to>
      <xdr:col>1</xdr:col>
      <xdr:colOff>2682119</xdr:colOff>
      <xdr:row>5</xdr:row>
      <xdr:rowOff>2553820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892E650-A7B8-5DDA-2CEE-26692E3B5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54599" y="7664264"/>
          <a:ext cx="2442873" cy="2352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50986</xdr:colOff>
      <xdr:row>1</xdr:row>
      <xdr:rowOff>600051</xdr:rowOff>
    </xdr:from>
    <xdr:to>
      <xdr:col>1</xdr:col>
      <xdr:colOff>2979985</xdr:colOff>
      <xdr:row>1</xdr:row>
      <xdr:rowOff>1983440</xdr:rowOff>
    </xdr:to>
    <xdr:pic>
      <xdr:nvPicPr>
        <xdr:cNvPr id="13" name="Picture 12" descr="Dual Active Bridge (DAB) Topology">
          <a:extLst>
            <a:ext uri="{FF2B5EF4-FFF2-40B4-BE49-F238E27FC236}">
              <a16:creationId xmlns:a16="http://schemas.microsoft.com/office/drawing/2014/main" id="{CD234259-B619-C238-259D-282231B7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66339" y="835375"/>
          <a:ext cx="2928999" cy="1383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</xdr:colOff>
      <xdr:row>6</xdr:row>
      <xdr:rowOff>177808</xdr:rowOff>
    </xdr:from>
    <xdr:to>
      <xdr:col>1</xdr:col>
      <xdr:colOff>2717986</xdr:colOff>
      <xdr:row>6</xdr:row>
      <xdr:rowOff>1854572</xdr:rowOff>
    </xdr:to>
    <xdr:pic>
      <xdr:nvPicPr>
        <xdr:cNvPr id="14" name="Picture 13" descr="Novel Hybrid LLC Resonant and DAB Linear DC–DC Converter: Average Model and  Experimental Verification | Semantic Scholar">
          <a:extLst>
            <a:ext uri="{FF2B5EF4-FFF2-40B4-BE49-F238E27FC236}">
              <a16:creationId xmlns:a16="http://schemas.microsoft.com/office/drawing/2014/main" id="{5DC50A91-3FFE-DB1B-E3AC-422173853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814" y="10375161"/>
          <a:ext cx="2676525" cy="1676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201144</xdr:colOff>
      <xdr:row>7</xdr:row>
      <xdr:rowOff>165433</xdr:rowOff>
    </xdr:from>
    <xdr:to>
      <xdr:col>1</xdr:col>
      <xdr:colOff>2810995</xdr:colOff>
      <xdr:row>7</xdr:row>
      <xdr:rowOff>1573306</xdr:rowOff>
    </xdr:to>
    <xdr:pic>
      <xdr:nvPicPr>
        <xdr:cNvPr id="15" name="Picture 14" descr="Cluster of electronic circuit boards connected to a module, all on a black background.">
          <a:extLst>
            <a:ext uri="{FF2B5EF4-FFF2-40B4-BE49-F238E27FC236}">
              <a16:creationId xmlns:a16="http://schemas.microsoft.com/office/drawing/2014/main" id="{E09765EC-B8C5-9A77-B6FF-EE069B11B2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832" t="19768" b="21395"/>
        <a:stretch>
          <a:fillRect/>
        </a:stretch>
      </xdr:blipFill>
      <xdr:spPr bwMode="auto">
        <a:xfrm>
          <a:off x="2016497" y="12402257"/>
          <a:ext cx="2609851" cy="14078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231401</xdr:colOff>
      <xdr:row>8</xdr:row>
      <xdr:rowOff>229721</xdr:rowOff>
    </xdr:from>
    <xdr:to>
      <xdr:col>1</xdr:col>
      <xdr:colOff>2946675</xdr:colOff>
      <xdr:row>8</xdr:row>
      <xdr:rowOff>2096621</xdr:rowOff>
    </xdr:to>
    <xdr:pic>
      <xdr:nvPicPr>
        <xdr:cNvPr id="16" name="Picture 15" descr="Reviews on multilevel converter and modulation techniques - ScienceDirect">
          <a:extLst>
            <a:ext uri="{FF2B5EF4-FFF2-40B4-BE49-F238E27FC236}">
              <a16:creationId xmlns:a16="http://schemas.microsoft.com/office/drawing/2014/main" id="{3DEEC007-29DD-9B22-39DD-1CC4AB7A21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405"/>
        <a:stretch>
          <a:fillRect/>
        </a:stretch>
      </xdr:blipFill>
      <xdr:spPr bwMode="auto">
        <a:xfrm>
          <a:off x="2046754" y="14136221"/>
          <a:ext cx="2715274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324972</xdr:colOff>
      <xdr:row>9</xdr:row>
      <xdr:rowOff>201706</xdr:rowOff>
    </xdr:from>
    <xdr:to>
      <xdr:col>1</xdr:col>
      <xdr:colOff>2622082</xdr:colOff>
      <xdr:row>9</xdr:row>
      <xdr:rowOff>1836645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F1D5D09-9978-D06F-AAB5-232BFFFB3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9325" y="16383000"/>
          <a:ext cx="2297110" cy="1634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179293</xdr:colOff>
      <xdr:row>10</xdr:row>
      <xdr:rowOff>219317</xdr:rowOff>
    </xdr:from>
    <xdr:to>
      <xdr:col>1</xdr:col>
      <xdr:colOff>2723030</xdr:colOff>
      <xdr:row>10</xdr:row>
      <xdr:rowOff>2650192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626EA-D750-716A-E4E8-EF19DEAEF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4646" y="18686611"/>
          <a:ext cx="2543737" cy="24308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ieeexplore.ieee.org/document/4198872" TargetMode="External"/><Relationship Id="rId1" Type="http://schemas.openxmlformats.org/officeDocument/2006/relationships/hyperlink" Target="https://ieeexplore.ieee.org/abstract/document/1127115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6B4C-0CF9-4E8F-9894-95D4813E2F9C}">
  <dimension ref="A1:M11"/>
  <sheetViews>
    <sheetView topLeftCell="A7" zoomScale="70" zoomScaleNormal="70" workbookViewId="0">
      <selection activeCell="A9" sqref="A9"/>
    </sheetView>
  </sheetViews>
  <sheetFormatPr defaultRowHeight="15" x14ac:dyDescent="0.25"/>
  <cols>
    <col min="1" max="1" width="27.28515625" customWidth="1"/>
    <col min="2" max="2" width="45.85546875" customWidth="1"/>
    <col min="3" max="3" width="34" customWidth="1"/>
    <col min="4" max="4" width="31.140625" customWidth="1"/>
    <col min="5" max="5" width="23" customWidth="1"/>
    <col min="6" max="6" width="30.7109375" customWidth="1"/>
    <col min="7" max="7" width="26.28515625" customWidth="1"/>
    <col min="8" max="8" width="28.28515625" customWidth="1"/>
    <col min="9" max="9" width="31" customWidth="1"/>
    <col min="10" max="10" width="31.85546875" customWidth="1"/>
    <col min="11" max="11" width="12.85546875" customWidth="1"/>
    <col min="12" max="12" width="24" customWidth="1"/>
    <col min="13" max="13" width="18" customWidth="1"/>
  </cols>
  <sheetData>
    <row r="1" spans="1:13" ht="18.75" x14ac:dyDescent="0.3">
      <c r="A1" s="7" t="s">
        <v>0</v>
      </c>
      <c r="B1" s="7" t="s">
        <v>59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</row>
    <row r="2" spans="1:13" ht="182.25" customHeight="1" x14ac:dyDescent="0.3">
      <c r="A2" s="8" t="s">
        <v>12</v>
      </c>
      <c r="B2" s="3"/>
      <c r="C2" s="5" t="s">
        <v>13</v>
      </c>
      <c r="D2" s="5" t="s">
        <v>14</v>
      </c>
      <c r="E2" s="5" t="s">
        <v>72</v>
      </c>
      <c r="F2" s="5" t="s">
        <v>65</v>
      </c>
      <c r="G2" s="5" t="s">
        <v>89</v>
      </c>
      <c r="H2" s="5" t="s">
        <v>90</v>
      </c>
      <c r="I2" s="5" t="s">
        <v>21</v>
      </c>
      <c r="J2" s="5" t="s">
        <v>16</v>
      </c>
      <c r="K2" s="5" t="s">
        <v>17</v>
      </c>
      <c r="L2" s="6" t="s">
        <v>86</v>
      </c>
      <c r="M2" s="5" t="s">
        <v>18</v>
      </c>
    </row>
    <row r="3" spans="1:13" s="1" customFormat="1" ht="114.75" customHeight="1" x14ac:dyDescent="0.25">
      <c r="A3" s="8" t="s">
        <v>68</v>
      </c>
      <c r="B3" s="4"/>
      <c r="C3" s="5" t="s">
        <v>19</v>
      </c>
      <c r="D3" s="5" t="s">
        <v>60</v>
      </c>
      <c r="E3" s="5" t="s">
        <v>61</v>
      </c>
      <c r="F3" s="5" t="s">
        <v>20</v>
      </c>
      <c r="G3" s="5">
        <v>95</v>
      </c>
      <c r="H3" s="5">
        <v>95</v>
      </c>
      <c r="I3" s="5" t="s">
        <v>21</v>
      </c>
      <c r="J3" s="5" t="s">
        <v>22</v>
      </c>
      <c r="K3" s="5" t="s">
        <v>23</v>
      </c>
      <c r="L3" s="6" t="s">
        <v>91</v>
      </c>
      <c r="M3" s="9" t="s">
        <v>24</v>
      </c>
    </row>
    <row r="4" spans="1:13" s="1" customFormat="1" ht="148.5" customHeight="1" x14ac:dyDescent="0.25">
      <c r="A4" s="8" t="s">
        <v>25</v>
      </c>
      <c r="B4" s="4"/>
      <c r="C4" s="5" t="s">
        <v>26</v>
      </c>
      <c r="D4" s="5" t="s">
        <v>27</v>
      </c>
      <c r="E4" s="5" t="s">
        <v>72</v>
      </c>
      <c r="F4" s="5" t="s">
        <v>28</v>
      </c>
      <c r="G4" s="5">
        <v>97</v>
      </c>
      <c r="H4" s="5">
        <v>97</v>
      </c>
      <c r="I4" s="5" t="s">
        <v>29</v>
      </c>
      <c r="J4" s="5" t="s">
        <v>81</v>
      </c>
      <c r="K4" s="5" t="s">
        <v>30</v>
      </c>
      <c r="L4" s="6" t="s">
        <v>92</v>
      </c>
      <c r="M4" s="5" t="s">
        <v>31</v>
      </c>
    </row>
    <row r="5" spans="1:13" s="1" customFormat="1" ht="123.75" customHeight="1" x14ac:dyDescent="0.3">
      <c r="A5" s="8" t="s">
        <v>32</v>
      </c>
      <c r="B5" s="3"/>
      <c r="C5" s="5" t="s">
        <v>33</v>
      </c>
      <c r="D5" s="5" t="s">
        <v>34</v>
      </c>
      <c r="E5" s="5" t="s">
        <v>74</v>
      </c>
      <c r="F5" s="5" t="s">
        <v>35</v>
      </c>
      <c r="G5" s="5" t="s">
        <v>78</v>
      </c>
      <c r="H5" s="5">
        <v>91</v>
      </c>
      <c r="I5" s="5" t="s">
        <v>15</v>
      </c>
      <c r="J5" s="5" t="s">
        <v>82</v>
      </c>
      <c r="K5" s="5" t="s">
        <v>17</v>
      </c>
      <c r="L5" s="6" t="s">
        <v>93</v>
      </c>
      <c r="M5" s="5" t="s">
        <v>36</v>
      </c>
    </row>
    <row r="6" spans="1:13" s="1" customFormat="1" ht="215.25" customHeight="1" x14ac:dyDescent="0.25">
      <c r="A6" s="8" t="s">
        <v>63</v>
      </c>
      <c r="B6" s="4"/>
      <c r="C6" s="6" t="s">
        <v>69</v>
      </c>
      <c r="D6" s="5" t="s">
        <v>34</v>
      </c>
      <c r="E6" s="5" t="s">
        <v>64</v>
      </c>
      <c r="F6" s="5" t="s">
        <v>37</v>
      </c>
      <c r="G6" s="5" t="s">
        <v>77</v>
      </c>
      <c r="H6" s="5">
        <v>94</v>
      </c>
      <c r="I6" s="5" t="s">
        <v>29</v>
      </c>
      <c r="J6" s="5" t="s">
        <v>22</v>
      </c>
      <c r="K6" s="5" t="s">
        <v>38</v>
      </c>
      <c r="L6" s="6" t="s">
        <v>94</v>
      </c>
      <c r="M6" s="5" t="s">
        <v>18</v>
      </c>
    </row>
    <row r="7" spans="1:13" s="1" customFormat="1" ht="160.5" customHeight="1" x14ac:dyDescent="0.25">
      <c r="A7" s="8" t="s">
        <v>39</v>
      </c>
      <c r="B7" s="4"/>
      <c r="C7" s="5" t="s">
        <v>40</v>
      </c>
      <c r="D7" s="6" t="s">
        <v>70</v>
      </c>
      <c r="E7" s="5" t="s">
        <v>65</v>
      </c>
      <c r="F7" s="5" t="s">
        <v>41</v>
      </c>
      <c r="G7" s="5">
        <v>95</v>
      </c>
      <c r="H7" s="5">
        <v>94</v>
      </c>
      <c r="I7" s="5" t="s">
        <v>21</v>
      </c>
      <c r="J7" s="5" t="s">
        <v>83</v>
      </c>
      <c r="K7" s="5" t="s">
        <v>40</v>
      </c>
      <c r="L7" s="6" t="s">
        <v>95</v>
      </c>
      <c r="M7" s="5" t="s">
        <v>18</v>
      </c>
    </row>
    <row r="8" spans="1:13" s="1" customFormat="1" ht="131.25" customHeight="1" x14ac:dyDescent="0.25">
      <c r="A8" s="8" t="s">
        <v>43</v>
      </c>
      <c r="B8" s="4"/>
      <c r="C8" s="5" t="s">
        <v>84</v>
      </c>
      <c r="D8" s="5" t="s">
        <v>14</v>
      </c>
      <c r="E8" s="5" t="s">
        <v>66</v>
      </c>
      <c r="F8" s="5" t="s">
        <v>44</v>
      </c>
      <c r="G8" s="5" t="s">
        <v>78</v>
      </c>
      <c r="H8" s="5">
        <v>93</v>
      </c>
      <c r="I8" s="5" t="s">
        <v>15</v>
      </c>
      <c r="J8" s="5" t="s">
        <v>45</v>
      </c>
      <c r="K8" s="5" t="s">
        <v>17</v>
      </c>
      <c r="L8" s="6" t="s">
        <v>96</v>
      </c>
      <c r="M8" s="5" t="s">
        <v>18</v>
      </c>
    </row>
    <row r="9" spans="1:13" s="1" customFormat="1" ht="183" customHeight="1" x14ac:dyDescent="0.25">
      <c r="A9" s="8" t="s">
        <v>97</v>
      </c>
      <c r="B9" s="4"/>
      <c r="C9" s="5" t="s">
        <v>46</v>
      </c>
      <c r="D9" s="5" t="s">
        <v>47</v>
      </c>
      <c r="E9" s="5" t="s">
        <v>65</v>
      </c>
      <c r="F9" s="5" t="s">
        <v>48</v>
      </c>
      <c r="G9" s="5" t="s">
        <v>78</v>
      </c>
      <c r="H9" s="5">
        <v>93</v>
      </c>
      <c r="I9" s="5" t="s">
        <v>80</v>
      </c>
      <c r="J9" s="5" t="s">
        <v>85</v>
      </c>
      <c r="K9" s="5" t="s">
        <v>47</v>
      </c>
      <c r="L9" s="6" t="s">
        <v>98</v>
      </c>
      <c r="M9" s="5" t="s">
        <v>42</v>
      </c>
    </row>
    <row r="10" spans="1:13" s="1" customFormat="1" ht="176.25" customHeight="1" x14ac:dyDescent="0.25">
      <c r="A10" s="8" t="s">
        <v>49</v>
      </c>
      <c r="B10" s="4"/>
      <c r="C10" s="5" t="s">
        <v>50</v>
      </c>
      <c r="D10" s="6" t="s">
        <v>70</v>
      </c>
      <c r="E10" s="5" t="s">
        <v>75</v>
      </c>
      <c r="F10" s="5" t="s">
        <v>73</v>
      </c>
      <c r="G10" s="5" t="s">
        <v>79</v>
      </c>
      <c r="H10" s="5">
        <v>93</v>
      </c>
      <c r="I10" s="5" t="s">
        <v>80</v>
      </c>
      <c r="J10" s="5" t="s">
        <v>83</v>
      </c>
      <c r="K10" s="5" t="s">
        <v>51</v>
      </c>
      <c r="L10" s="6" t="s">
        <v>99</v>
      </c>
      <c r="M10" s="5" t="s">
        <v>71</v>
      </c>
    </row>
    <row r="11" spans="1:13" ht="225.75" customHeight="1" x14ac:dyDescent="0.25">
      <c r="A11" s="8" t="s">
        <v>52</v>
      </c>
      <c r="B11" s="4"/>
      <c r="C11" s="5" t="s">
        <v>53</v>
      </c>
      <c r="D11" s="5" t="s">
        <v>27</v>
      </c>
      <c r="E11" s="5" t="s">
        <v>76</v>
      </c>
      <c r="F11" s="5" t="s">
        <v>54</v>
      </c>
      <c r="G11" s="5">
        <v>95</v>
      </c>
      <c r="H11" s="5">
        <v>95</v>
      </c>
      <c r="I11" s="5" t="s">
        <v>80</v>
      </c>
      <c r="J11" s="5" t="s">
        <v>101</v>
      </c>
      <c r="K11" s="5" t="s">
        <v>23</v>
      </c>
      <c r="L11" s="6" t="s">
        <v>100</v>
      </c>
      <c r="M11" s="5" t="s">
        <v>31</v>
      </c>
    </row>
  </sheetData>
  <hyperlinks>
    <hyperlink ref="M3" r:id="rId1" xr:uid="{00B2AA8A-09B8-4DC0-8A95-86B14B6BCC33}"/>
    <hyperlink ref="M10" r:id="rId2" xr:uid="{85CFDECF-87EE-44C7-AAF6-3F5C1068C236}"/>
  </hyperlinks>
  <pageMargins left="0.7" right="0.7" top="0.75" bottom="0.75" header="0.3" footer="0.3"/>
  <pageSetup paperSize="9"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05896-F914-4FDF-86C9-3A5F9B83B320}">
  <dimension ref="A1:H11"/>
  <sheetViews>
    <sheetView tabSelected="1" workbookViewId="0">
      <selection activeCell="A5" sqref="A5:XFD5"/>
    </sheetView>
  </sheetViews>
  <sheetFormatPr defaultRowHeight="15" x14ac:dyDescent="0.25"/>
  <cols>
    <col min="1" max="1" width="19.5703125" customWidth="1"/>
    <col min="2" max="2" width="18" customWidth="1"/>
    <col min="3" max="3" width="21" customWidth="1"/>
    <col min="4" max="4" width="16.85546875" customWidth="1"/>
    <col min="5" max="5" width="23.42578125" customWidth="1"/>
    <col min="6" max="6" width="18" customWidth="1"/>
    <col min="7" max="7" width="24.5703125" customWidth="1"/>
    <col min="8" max="8" width="16.7109375" customWidth="1"/>
  </cols>
  <sheetData>
    <row r="1" spans="1:8" x14ac:dyDescent="0.25">
      <c r="A1" s="10" t="s">
        <v>0</v>
      </c>
      <c r="B1" s="10" t="s">
        <v>55</v>
      </c>
      <c r="C1" s="10" t="s">
        <v>56</v>
      </c>
      <c r="D1" s="10" t="s">
        <v>57</v>
      </c>
      <c r="E1" s="10" t="s">
        <v>87</v>
      </c>
      <c r="F1" s="10" t="s">
        <v>88</v>
      </c>
      <c r="G1" s="10" t="s">
        <v>58</v>
      </c>
      <c r="H1" s="11" t="s">
        <v>62</v>
      </c>
    </row>
    <row r="2" spans="1:8" x14ac:dyDescent="0.25">
      <c r="A2" s="12" t="s">
        <v>12</v>
      </c>
      <c r="B2" s="2">
        <v>8</v>
      </c>
      <c r="C2" s="2">
        <v>6</v>
      </c>
      <c r="D2" s="2">
        <v>9</v>
      </c>
      <c r="E2" s="2">
        <v>6</v>
      </c>
      <c r="F2" s="2">
        <v>8</v>
      </c>
      <c r="G2" s="2">
        <v>7</v>
      </c>
      <c r="H2" s="13">
        <f t="shared" ref="H2:H11" si="0">SUM(B2:G2)</f>
        <v>44</v>
      </c>
    </row>
    <row r="3" spans="1:8" x14ac:dyDescent="0.25">
      <c r="A3" s="12" t="s">
        <v>67</v>
      </c>
      <c r="B3" s="2">
        <v>9</v>
      </c>
      <c r="C3" s="2">
        <v>8</v>
      </c>
      <c r="D3" s="2">
        <v>8</v>
      </c>
      <c r="E3" s="2">
        <v>6</v>
      </c>
      <c r="F3" s="2">
        <v>7</v>
      </c>
      <c r="G3" s="2">
        <v>8</v>
      </c>
      <c r="H3" s="13">
        <f t="shared" si="0"/>
        <v>46</v>
      </c>
    </row>
    <row r="4" spans="1:8" x14ac:dyDescent="0.25">
      <c r="A4" s="12" t="s">
        <v>25</v>
      </c>
      <c r="B4" s="2">
        <v>9</v>
      </c>
      <c r="C4" s="2">
        <v>9</v>
      </c>
      <c r="D4" s="2">
        <v>7</v>
      </c>
      <c r="E4" s="2">
        <v>5</v>
      </c>
      <c r="F4" s="2">
        <v>5</v>
      </c>
      <c r="G4" s="2">
        <v>9</v>
      </c>
      <c r="H4" s="13">
        <f t="shared" si="0"/>
        <v>44</v>
      </c>
    </row>
    <row r="5" spans="1:8" x14ac:dyDescent="0.25">
      <c r="A5" s="12" t="s">
        <v>32</v>
      </c>
      <c r="B5" s="2">
        <v>7</v>
      </c>
      <c r="C5" s="2">
        <v>5</v>
      </c>
      <c r="D5" s="2">
        <v>10</v>
      </c>
      <c r="E5" s="2">
        <v>9</v>
      </c>
      <c r="F5" s="2">
        <v>9</v>
      </c>
      <c r="G5" s="2">
        <v>5</v>
      </c>
      <c r="H5" s="13">
        <f t="shared" si="0"/>
        <v>45</v>
      </c>
    </row>
    <row r="6" spans="1:8" x14ac:dyDescent="0.25">
      <c r="A6" s="12" t="s">
        <v>63</v>
      </c>
      <c r="B6" s="2">
        <v>6</v>
      </c>
      <c r="C6" s="2">
        <v>7</v>
      </c>
      <c r="D6" s="2">
        <v>7</v>
      </c>
      <c r="E6" s="2">
        <v>6</v>
      </c>
      <c r="F6" s="2">
        <v>6</v>
      </c>
      <c r="G6" s="2">
        <v>7</v>
      </c>
      <c r="H6" s="13">
        <f t="shared" si="0"/>
        <v>39</v>
      </c>
    </row>
    <row r="7" spans="1:8" x14ac:dyDescent="0.25">
      <c r="A7" s="12" t="s">
        <v>39</v>
      </c>
      <c r="B7" s="2">
        <v>9</v>
      </c>
      <c r="C7" s="2">
        <v>8</v>
      </c>
      <c r="D7" s="2">
        <v>6</v>
      </c>
      <c r="E7" s="2">
        <v>6</v>
      </c>
      <c r="F7" s="2">
        <v>6</v>
      </c>
      <c r="G7" s="2">
        <v>9</v>
      </c>
      <c r="H7" s="13">
        <f t="shared" si="0"/>
        <v>44</v>
      </c>
    </row>
    <row r="8" spans="1:8" x14ac:dyDescent="0.25">
      <c r="A8" s="12" t="s">
        <v>43</v>
      </c>
      <c r="B8" s="2">
        <v>7</v>
      </c>
      <c r="C8" s="2">
        <v>5</v>
      </c>
      <c r="D8" s="2">
        <v>4</v>
      </c>
      <c r="E8" s="2">
        <v>2</v>
      </c>
      <c r="F8" s="2">
        <v>4</v>
      </c>
      <c r="G8" s="2">
        <v>9</v>
      </c>
      <c r="H8" s="13">
        <f t="shared" si="0"/>
        <v>31</v>
      </c>
    </row>
    <row r="9" spans="1:8" x14ac:dyDescent="0.25">
      <c r="A9" s="12" t="s">
        <v>97</v>
      </c>
      <c r="B9" s="2">
        <v>8</v>
      </c>
      <c r="C9" s="2">
        <v>8</v>
      </c>
      <c r="D9" s="2">
        <v>5</v>
      </c>
      <c r="E9" s="2">
        <v>5</v>
      </c>
      <c r="F9" s="2">
        <v>5</v>
      </c>
      <c r="G9" s="2">
        <v>9</v>
      </c>
      <c r="H9" s="13">
        <f t="shared" si="0"/>
        <v>40</v>
      </c>
    </row>
    <row r="10" spans="1:8" x14ac:dyDescent="0.25">
      <c r="A10" s="12" t="s">
        <v>49</v>
      </c>
      <c r="B10" s="2">
        <v>8</v>
      </c>
      <c r="C10" s="2">
        <v>8</v>
      </c>
      <c r="D10" s="2">
        <v>5</v>
      </c>
      <c r="E10" s="2">
        <v>5</v>
      </c>
      <c r="F10" s="2">
        <v>5</v>
      </c>
      <c r="G10" s="2">
        <v>8</v>
      </c>
      <c r="H10" s="13">
        <f t="shared" si="0"/>
        <v>39</v>
      </c>
    </row>
    <row r="11" spans="1:8" x14ac:dyDescent="0.25">
      <c r="A11" s="12" t="s">
        <v>52</v>
      </c>
      <c r="B11" s="2">
        <v>9</v>
      </c>
      <c r="C11" s="2">
        <v>9</v>
      </c>
      <c r="D11" s="2">
        <v>7</v>
      </c>
      <c r="E11" s="2">
        <v>6</v>
      </c>
      <c r="F11" s="2">
        <v>6</v>
      </c>
      <c r="G11" s="2">
        <v>9</v>
      </c>
      <c r="H11" s="13">
        <f t="shared" si="0"/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Ghanbari</dc:creator>
  <cp:lastModifiedBy>Rashid Kazemi</cp:lastModifiedBy>
  <cp:lastPrinted>2026-04-14T08:39:53Z</cp:lastPrinted>
  <dcterms:created xsi:type="dcterms:W3CDTF">2026-04-13T14:11:44Z</dcterms:created>
  <dcterms:modified xsi:type="dcterms:W3CDTF">2026-05-28T11:24:04Z</dcterms:modified>
</cp:coreProperties>
</file>